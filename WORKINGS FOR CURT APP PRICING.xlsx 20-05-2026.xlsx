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urt/Desktop/CSA /Clients/Master Movers /Master Movers APP/"/>
    </mc:Choice>
  </mc:AlternateContent>
  <xr:revisionPtr revIDLastSave="0" documentId="13_ncr:1_{8A3AA3CF-2C82-DA4C-85C2-191D00D531EF}" xr6:coauthVersionLast="47" xr6:coauthVersionMax="47" xr10:uidLastSave="{00000000-0000-0000-0000-000000000000}"/>
  <bookViews>
    <workbookView xWindow="0" yWindow="660" windowWidth="34560" windowHeight="21680" activeTab="4" xr2:uid="{00000000-000D-0000-FFFF-FFFF00000000}"/>
  </bookViews>
  <sheets>
    <sheet name="National Costing" sheetId="1" r:id="rId1"/>
    <sheet name="Local Costing" sheetId="2" r:id="rId2"/>
    <sheet name="Additional Costs" sheetId="3" r:id="rId3"/>
    <sheet name="Packaging" sheetId="4" r:id="rId4"/>
    <sheet name="Jos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5" i="2"/>
  <c r="F4" i="2"/>
  <c r="F3" i="2"/>
  <c r="F2" i="2"/>
</calcChain>
</file>

<file path=xl/sharedStrings.xml><?xml version="1.0" encoding="utf-8"?>
<sst xmlns="http://schemas.openxmlformats.org/spreadsheetml/2006/main" count="342" uniqueCount="125">
  <si>
    <t>Route</t>
  </si>
  <si>
    <t>Base Move Cost (R)</t>
  </si>
  <si>
    <t>Fuel Cost (R)</t>
  </si>
  <si>
    <t>Labour Cost (R)</t>
  </si>
  <si>
    <t>Total Cost (R)</t>
  </si>
  <si>
    <t>JHB-CPT</t>
  </si>
  <si>
    <t>JHB-DBN</t>
  </si>
  <si>
    <t>JHB-GR</t>
  </si>
  <si>
    <t>CPT-JHB</t>
  </si>
  <si>
    <t>CPT-DBN</t>
  </si>
  <si>
    <t>CPT-GR</t>
  </si>
  <si>
    <t>DBN-JHB</t>
  </si>
  <si>
    <t>DBN-CPT</t>
  </si>
  <si>
    <t>DBN-GR</t>
  </si>
  <si>
    <t>City</t>
  </si>
  <si>
    <t>Other Cost (R)</t>
  </si>
  <si>
    <t>CPT</t>
  </si>
  <si>
    <t>JHB</t>
  </si>
  <si>
    <t>DBN</t>
  </si>
  <si>
    <t>GR</t>
  </si>
  <si>
    <t>Additional Service</t>
  </si>
  <si>
    <t>Fixed Rate (R)</t>
  </si>
  <si>
    <t>Long Carry</t>
  </si>
  <si>
    <t>Shuttle Service</t>
  </si>
  <si>
    <t>Stairs Fee</t>
  </si>
  <si>
    <t>Waiting Time</t>
  </si>
  <si>
    <t>Packaging Type</t>
  </si>
  <si>
    <t>Item</t>
  </si>
  <si>
    <t>Cost Per Unit (R)</t>
  </si>
  <si>
    <t>Sending Boxes</t>
  </si>
  <si>
    <t>Small Box</t>
  </si>
  <si>
    <t>Medium Box</t>
  </si>
  <si>
    <t>Large Box</t>
  </si>
  <si>
    <t>Sending Boxes &amp; Packing</t>
  </si>
  <si>
    <t>Small Box + Packing</t>
  </si>
  <si>
    <t>Medium Box + Packing</t>
  </si>
  <si>
    <t>Large Box + Packing</t>
  </si>
  <si>
    <t>Rate Per Cubic feet</t>
  </si>
  <si>
    <t>Rate Per Km</t>
  </si>
  <si>
    <t>Total Flat Rate</t>
  </si>
  <si>
    <t>National Costing (Standard Vehicle: Link)</t>
  </si>
  <si>
    <t xml:space="preserve">Local Costing: JHB </t>
  </si>
  <si>
    <t>Vehicle 1</t>
  </si>
  <si>
    <t>Vehicle 2</t>
  </si>
  <si>
    <t>Vehicle 3</t>
  </si>
  <si>
    <t>Vehicle 4</t>
  </si>
  <si>
    <t>Vehicle 5</t>
  </si>
  <si>
    <t>Vehicle 6</t>
  </si>
  <si>
    <t>Vehicle 7</t>
  </si>
  <si>
    <t>Vehicle 8</t>
  </si>
  <si>
    <t>Vehicle 9</t>
  </si>
  <si>
    <t>Local Costing: CPT</t>
  </si>
  <si>
    <t>Local Costing: GR</t>
  </si>
  <si>
    <t>Local Costing: DBN</t>
  </si>
  <si>
    <t xml:space="preserve">Additional Costs </t>
  </si>
  <si>
    <t xml:space="preserve">Shuttle </t>
  </si>
  <si>
    <t xml:space="preserve">Long Carry </t>
  </si>
  <si>
    <t>Rate</t>
  </si>
  <si>
    <t>Type</t>
  </si>
  <si>
    <t>Formula</t>
  </si>
  <si>
    <t>Flat rate of +30m @R450</t>
  </si>
  <si>
    <t>Any heavy items + 2 Crew @R700pp</t>
  </si>
  <si>
    <t>Insurance</t>
  </si>
  <si>
    <t>Packaging: Sending Boxes only</t>
  </si>
  <si>
    <t>Price Per Box</t>
  </si>
  <si>
    <t>Delivery Fee</t>
  </si>
  <si>
    <t>Packaging: Boxes + Packing</t>
  </si>
  <si>
    <t xml:space="preserve">Packing boxes </t>
  </si>
  <si>
    <t>Price per Box</t>
  </si>
  <si>
    <t>Flat delivery rate</t>
  </si>
  <si>
    <t>Additional Notes</t>
  </si>
  <si>
    <t xml:space="preserve">Type </t>
  </si>
  <si>
    <t>Description</t>
  </si>
  <si>
    <t xml:space="preserve">Min order </t>
  </si>
  <si>
    <t>Min km radius</t>
  </si>
  <si>
    <t>Speak to a sales consultant if destination or collection is further than 100km</t>
  </si>
  <si>
    <t>LINEN BOXES</t>
  </si>
  <si>
    <t>ST 7 BOXES</t>
  </si>
  <si>
    <t>DEL FEE</t>
  </si>
  <si>
    <t>Extra Labour Day</t>
  </si>
  <si>
    <t>Today Jose was suggesting we do st 7 and linen only on pricing.</t>
  </si>
  <si>
    <t>JHB- GR-CT</t>
  </si>
  <si>
    <t>CT - GR - JHB</t>
  </si>
  <si>
    <t>CT - GR - DBN</t>
  </si>
  <si>
    <t>DBN - GR - CT</t>
  </si>
  <si>
    <t>Flat Rate per C</t>
  </si>
  <si>
    <t>link</t>
  </si>
  <si>
    <t>vehicle</t>
  </si>
  <si>
    <t>volume</t>
  </si>
  <si>
    <t>Vehicle</t>
  </si>
  <si>
    <t>Volume</t>
  </si>
  <si>
    <t>PAYFLEX customer to pay an additional 7%</t>
  </si>
  <si>
    <t>Dyna 4</t>
  </si>
  <si>
    <t>Dyna 6</t>
  </si>
  <si>
    <t>Mb800</t>
  </si>
  <si>
    <t>Isuzu</t>
  </si>
  <si>
    <t>Dyna 7</t>
  </si>
  <si>
    <t>Vehicle 10</t>
  </si>
  <si>
    <t>Hino</t>
  </si>
  <si>
    <t>Atego</t>
  </si>
  <si>
    <t>Semi Trailer</t>
  </si>
  <si>
    <t>Link Trailer</t>
  </si>
  <si>
    <t>Link Trailers x 2</t>
  </si>
  <si>
    <t>41Ft trailer</t>
  </si>
  <si>
    <t>hino 300</t>
  </si>
  <si>
    <t>old Hino</t>
  </si>
  <si>
    <t>Link + 1 Trailer</t>
  </si>
  <si>
    <t>Link + 2 Trailers</t>
  </si>
  <si>
    <t>Hino 300</t>
  </si>
  <si>
    <t xml:space="preserve">Flat Rate    </t>
  </si>
  <si>
    <t>Additional Crew</t>
  </si>
  <si>
    <t>Min Charge</t>
  </si>
  <si>
    <t>Rate Per Cube</t>
  </si>
  <si>
    <t>Minimum</t>
  </si>
  <si>
    <t>Flat Rate    50M and over needs shuttle</t>
  </si>
  <si>
    <t>Any heavy items + Crew @ R700pp</t>
  </si>
  <si>
    <t>Contact our office for details</t>
  </si>
  <si>
    <t>Packaging: Client Packing own Boxes</t>
  </si>
  <si>
    <t>Flat delivery rate 0 - 80</t>
  </si>
  <si>
    <t>R2 600.00</t>
  </si>
  <si>
    <t>Flat rate of  50-80 M @R450</t>
  </si>
  <si>
    <t>Long Carry Stairs</t>
  </si>
  <si>
    <t>2nd floor R450, Above 3-4th floor R750, higher than 5th R950</t>
  </si>
  <si>
    <t xml:space="preserve">Hoisting </t>
  </si>
  <si>
    <t xml:space="preserve">R850 flat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</si>
</sst>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_);[Red]\(&quot;R&quot;#,##0\)"/>
    <numFmt numFmtId="164" formatCode="&quot;R&quot;#,##0.00"/>
    <numFmt numFmtId="165" formatCode="#.##0.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D8E4BC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0" fontId="0" fillId="0" borderId="6" xfId="0" applyBorder="1"/>
    <xf numFmtId="0" fontId="3" fillId="0" borderId="7" xfId="0" applyFont="1" applyBorder="1"/>
    <xf numFmtId="0" fontId="0" fillId="0" borderId="8" xfId="0" applyBorder="1"/>
    <xf numFmtId="0" fontId="2" fillId="0" borderId="9" xfId="0" applyFont="1" applyBorder="1" applyAlignment="1">
      <alignment horizontal="center"/>
    </xf>
    <xf numFmtId="164" fontId="0" fillId="0" borderId="10" xfId="0" applyNumberFormat="1" applyBorder="1"/>
    <xf numFmtId="164" fontId="0" fillId="0" borderId="11" xfId="0" applyNumberFormat="1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8" fillId="3" borderId="11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5" xfId="0" applyBorder="1"/>
    <xf numFmtId="0" fontId="9" fillId="0" borderId="5" xfId="0" applyFont="1" applyBorder="1"/>
    <xf numFmtId="164" fontId="10" fillId="0" borderId="10" xfId="0" applyNumberFormat="1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11" xfId="0" applyFont="1" applyBorder="1"/>
    <xf numFmtId="0" fontId="10" fillId="0" borderId="8" xfId="0" applyFont="1" applyBorder="1"/>
    <xf numFmtId="0" fontId="3" fillId="2" borderId="1" xfId="0" applyFont="1" applyFill="1" applyBorder="1"/>
    <xf numFmtId="0" fontId="0" fillId="0" borderId="3" xfId="0" applyBorder="1"/>
    <xf numFmtId="0" fontId="0" fillId="0" borderId="9" xfId="0" applyBorder="1"/>
    <xf numFmtId="0" fontId="3" fillId="2" borderId="9" xfId="0" applyFont="1" applyFill="1" applyBorder="1"/>
    <xf numFmtId="6" fontId="0" fillId="0" borderId="5" xfId="0" applyNumberFormat="1" applyBorder="1" applyAlignment="1">
      <alignment horizontal="left"/>
    </xf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2" fillId="0" borderId="4" xfId="0" applyNumberFormat="1" applyFont="1" applyBorder="1" applyAlignment="1">
      <alignment horizontal="center"/>
    </xf>
    <xf numFmtId="2" fontId="0" fillId="0" borderId="6" xfId="0" applyNumberFormat="1" applyBorder="1"/>
    <xf numFmtId="2" fontId="0" fillId="0" borderId="8" xfId="0" applyNumberFormat="1" applyBorder="1"/>
    <xf numFmtId="2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2" borderId="3" xfId="0" applyFont="1" applyFill="1" applyBorder="1"/>
    <xf numFmtId="165" fontId="10" fillId="0" borderId="10" xfId="0" applyNumberFormat="1" applyFont="1" applyBorder="1"/>
    <xf numFmtId="2" fontId="10" fillId="0" borderId="6" xfId="0" applyNumberFormat="1" applyFont="1" applyBorder="1"/>
    <xf numFmtId="0" fontId="3" fillId="0" borderId="5" xfId="0" applyFont="1" applyBorder="1" applyAlignment="1">
      <alignment horizontal="left"/>
    </xf>
    <xf numFmtId="2" fontId="8" fillId="0" borderId="6" xfId="0" applyNumberFormat="1" applyFont="1" applyBorder="1" applyAlignment="1">
      <alignment horizontal="center"/>
    </xf>
    <xf numFmtId="0" fontId="3" fillId="0" borderId="0" xfId="0" applyFont="1"/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zoomScale="92" zoomScaleNormal="99" workbookViewId="0">
      <selection activeCell="H8" sqref="H8:L9"/>
    </sheetView>
  </sheetViews>
  <sheetFormatPr baseColWidth="10" defaultColWidth="8.83203125" defaultRowHeight="15" x14ac:dyDescent="0.2"/>
  <cols>
    <col min="1" max="1" width="10.83203125" customWidth="1"/>
    <col min="2" max="2" width="14.33203125" bestFit="1" customWidth="1"/>
    <col min="3" max="3" width="8.83203125" customWidth="1"/>
    <col min="4" max="4" width="17.6640625" bestFit="1" customWidth="1"/>
    <col min="5" max="5" width="11.6640625" bestFit="1" customWidth="1"/>
    <col min="6" max="6" width="13.5" bestFit="1" customWidth="1"/>
    <col min="7" max="7" width="13.33203125" customWidth="1"/>
    <col min="8" max="8" width="14.5" customWidth="1"/>
    <col min="9" max="9" width="17" customWidth="1"/>
    <col min="10" max="10" width="7.6640625" customWidth="1"/>
    <col min="11" max="11" width="76" customWidth="1"/>
    <col min="12" max="12" width="14.5" customWidth="1"/>
    <col min="13" max="13" width="13.5" bestFit="1" customWidth="1"/>
  </cols>
  <sheetData>
    <row r="1" spans="1:12" ht="21" x14ac:dyDescent="0.25">
      <c r="A1" s="53" t="s">
        <v>40</v>
      </c>
      <c r="B1" s="53"/>
      <c r="C1" s="53"/>
      <c r="D1" s="53"/>
      <c r="E1" s="53"/>
      <c r="F1" s="53"/>
      <c r="H1" s="54" t="s">
        <v>54</v>
      </c>
      <c r="I1" s="54"/>
      <c r="J1" s="54"/>
      <c r="K1" s="54"/>
    </row>
    <row r="2" spans="1:12" x14ac:dyDescent="0.2">
      <c r="A2" s="4" t="s">
        <v>0</v>
      </c>
      <c r="B2" s="41" t="s">
        <v>87</v>
      </c>
      <c r="C2" s="41" t="s">
        <v>88</v>
      </c>
      <c r="D2" s="4" t="s">
        <v>37</v>
      </c>
      <c r="E2" s="41" t="s">
        <v>111</v>
      </c>
      <c r="F2" s="4" t="s">
        <v>39</v>
      </c>
      <c r="H2" s="4" t="s">
        <v>58</v>
      </c>
      <c r="I2" s="41" t="s">
        <v>89</v>
      </c>
      <c r="J2" s="41" t="s">
        <v>90</v>
      </c>
      <c r="K2" s="29" t="s">
        <v>59</v>
      </c>
      <c r="L2" s="29" t="s">
        <v>57</v>
      </c>
    </row>
    <row r="3" spans="1:12" x14ac:dyDescent="0.2">
      <c r="A3" s="5"/>
      <c r="B3" s="5"/>
      <c r="C3" s="5"/>
      <c r="D3" s="11"/>
      <c r="E3" s="11"/>
      <c r="F3" s="37"/>
      <c r="H3" s="30"/>
      <c r="I3" s="30"/>
      <c r="J3" s="30"/>
      <c r="K3" s="31"/>
      <c r="L3" s="34"/>
    </row>
    <row r="4" spans="1:12" x14ac:dyDescent="0.2">
      <c r="A4" s="7" t="s">
        <v>5</v>
      </c>
      <c r="B4" s="7" t="s">
        <v>86</v>
      </c>
      <c r="C4" s="7">
        <v>5000</v>
      </c>
      <c r="D4" s="12">
        <v>25</v>
      </c>
      <c r="E4" s="14">
        <v>6000</v>
      </c>
      <c r="F4" s="12">
        <v>25</v>
      </c>
      <c r="H4" s="7" t="s">
        <v>55</v>
      </c>
      <c r="I4" s="7"/>
      <c r="J4" s="7"/>
      <c r="K4" s="14" t="s">
        <v>109</v>
      </c>
      <c r="L4" s="35">
        <v>2500</v>
      </c>
    </row>
    <row r="5" spans="1:12" x14ac:dyDescent="0.2">
      <c r="A5" s="7" t="s">
        <v>6</v>
      </c>
      <c r="B5" s="7" t="s">
        <v>86</v>
      </c>
      <c r="C5" s="7">
        <v>5000</v>
      </c>
      <c r="D5" s="12">
        <v>15</v>
      </c>
      <c r="E5" s="14">
        <v>5000</v>
      </c>
      <c r="F5" s="12">
        <f t="shared" ref="F5:F12" si="0">D5</f>
        <v>15</v>
      </c>
      <c r="H5" s="7" t="s">
        <v>56</v>
      </c>
      <c r="I5" s="7"/>
      <c r="J5" s="7"/>
      <c r="K5" s="14" t="s">
        <v>60</v>
      </c>
      <c r="L5" s="35">
        <v>450</v>
      </c>
    </row>
    <row r="6" spans="1:12" x14ac:dyDescent="0.2">
      <c r="A6" s="7" t="s">
        <v>7</v>
      </c>
      <c r="B6" s="7" t="s">
        <v>86</v>
      </c>
      <c r="C6" s="7">
        <v>5000</v>
      </c>
      <c r="D6" s="12">
        <v>30</v>
      </c>
      <c r="E6" s="14"/>
      <c r="F6" s="12">
        <f t="shared" si="0"/>
        <v>30</v>
      </c>
      <c r="H6" s="7" t="s">
        <v>110</v>
      </c>
      <c r="I6" s="7"/>
      <c r="J6" s="7"/>
      <c r="K6" s="14" t="s">
        <v>61</v>
      </c>
      <c r="L6" s="35"/>
    </row>
    <row r="7" spans="1:12" x14ac:dyDescent="0.2">
      <c r="A7" s="7" t="s">
        <v>8</v>
      </c>
      <c r="B7" s="7" t="s">
        <v>86</v>
      </c>
      <c r="C7" s="7">
        <v>5000</v>
      </c>
      <c r="D7" s="12">
        <v>15</v>
      </c>
      <c r="E7" s="14"/>
      <c r="F7" s="12">
        <f t="shared" si="0"/>
        <v>15</v>
      </c>
      <c r="H7" s="7" t="s">
        <v>62</v>
      </c>
      <c r="I7" s="7"/>
      <c r="J7" s="7"/>
      <c r="K7" s="14" t="s">
        <v>116</v>
      </c>
      <c r="L7" s="35"/>
    </row>
    <row r="8" spans="1:12" x14ac:dyDescent="0.2">
      <c r="A8" s="7" t="s">
        <v>9</v>
      </c>
      <c r="B8" s="7" t="s">
        <v>86</v>
      </c>
      <c r="C8" s="7">
        <v>5000</v>
      </c>
      <c r="D8" s="12">
        <v>15</v>
      </c>
      <c r="E8" s="14"/>
      <c r="F8" s="12">
        <f t="shared" si="0"/>
        <v>15</v>
      </c>
      <c r="H8" s="7"/>
      <c r="I8" s="7"/>
      <c r="J8" s="7"/>
      <c r="K8" s="14"/>
      <c r="L8" s="35"/>
    </row>
    <row r="9" spans="1:12" x14ac:dyDescent="0.2">
      <c r="A9" s="7" t="s">
        <v>10</v>
      </c>
      <c r="B9" s="7" t="s">
        <v>86</v>
      </c>
      <c r="C9" s="7">
        <v>5000</v>
      </c>
      <c r="D9" s="12">
        <v>16</v>
      </c>
      <c r="E9" s="14"/>
      <c r="F9" s="12">
        <f t="shared" si="0"/>
        <v>16</v>
      </c>
      <c r="H9" s="7"/>
      <c r="I9" s="7"/>
      <c r="J9" s="7"/>
      <c r="K9" s="14"/>
      <c r="L9" s="35"/>
    </row>
    <row r="10" spans="1:12" x14ac:dyDescent="0.2">
      <c r="A10" s="7" t="s">
        <v>11</v>
      </c>
      <c r="B10" s="7" t="s">
        <v>86</v>
      </c>
      <c r="C10" s="7">
        <v>5000</v>
      </c>
      <c r="D10" s="12">
        <v>9</v>
      </c>
      <c r="E10" s="14"/>
      <c r="F10" s="12">
        <f t="shared" si="0"/>
        <v>9</v>
      </c>
      <c r="H10" s="22"/>
      <c r="I10" s="22"/>
      <c r="J10" s="22"/>
      <c r="K10" s="14"/>
      <c r="L10" s="35"/>
    </row>
    <row r="11" spans="1:12" ht="15.5" customHeight="1" x14ac:dyDescent="0.2">
      <c r="A11" s="7" t="s">
        <v>12</v>
      </c>
      <c r="B11" s="7" t="s">
        <v>86</v>
      </c>
      <c r="C11" s="7">
        <v>5000</v>
      </c>
      <c r="D11" s="12">
        <v>25</v>
      </c>
      <c r="E11" s="14"/>
      <c r="F11" s="12">
        <f t="shared" si="0"/>
        <v>25</v>
      </c>
      <c r="H11" s="22"/>
      <c r="I11" s="22"/>
      <c r="J11" s="22"/>
      <c r="K11" s="14" t="s">
        <v>91</v>
      </c>
      <c r="L11" s="35"/>
    </row>
    <row r="12" spans="1:12" x14ac:dyDescent="0.2">
      <c r="A12" s="9" t="s">
        <v>13</v>
      </c>
      <c r="B12" s="7" t="s">
        <v>86</v>
      </c>
      <c r="C12" s="7">
        <v>5000</v>
      </c>
      <c r="D12" s="13">
        <v>30</v>
      </c>
      <c r="E12" s="14"/>
      <c r="F12" s="12">
        <f t="shared" si="0"/>
        <v>30</v>
      </c>
      <c r="H12" s="22"/>
      <c r="I12" s="22"/>
      <c r="J12" s="22"/>
      <c r="K12" s="14"/>
      <c r="L12" s="35"/>
    </row>
    <row r="13" spans="1:12" x14ac:dyDescent="0.2">
      <c r="A13" s="7"/>
      <c r="B13" s="7"/>
      <c r="C13" s="7"/>
      <c r="D13" s="12"/>
      <c r="E13" s="14"/>
      <c r="F13" s="38"/>
      <c r="H13" s="22"/>
      <c r="I13" s="22"/>
      <c r="J13" s="22"/>
      <c r="K13" s="14"/>
      <c r="L13" s="35"/>
    </row>
    <row r="14" spans="1:12" x14ac:dyDescent="0.2">
      <c r="A14" s="7"/>
      <c r="B14" s="7"/>
      <c r="C14" s="7"/>
      <c r="D14" s="12"/>
      <c r="E14" s="14"/>
      <c r="F14" s="38"/>
      <c r="H14" s="22"/>
      <c r="I14" s="22"/>
      <c r="J14" s="22"/>
      <c r="K14" s="14"/>
      <c r="L14" s="35"/>
    </row>
    <row r="15" spans="1:12" x14ac:dyDescent="0.2">
      <c r="A15" s="9"/>
      <c r="C15" s="9"/>
      <c r="D15" s="13"/>
      <c r="E15" s="15"/>
      <c r="F15" s="39"/>
      <c r="H15" s="16"/>
      <c r="I15" s="16"/>
      <c r="J15" s="16"/>
      <c r="K15" s="15"/>
      <c r="L15" s="36"/>
    </row>
    <row r="18" spans="1:13" ht="19" x14ac:dyDescent="0.25">
      <c r="A18" s="53" t="s">
        <v>41</v>
      </c>
      <c r="B18" s="53"/>
      <c r="C18" s="53"/>
      <c r="D18" s="53"/>
      <c r="E18" s="53"/>
      <c r="F18" s="53"/>
      <c r="H18" s="55" t="s">
        <v>52</v>
      </c>
      <c r="I18" s="56"/>
      <c r="J18" s="56"/>
      <c r="K18" s="56"/>
      <c r="L18" s="56"/>
      <c r="M18" s="57"/>
    </row>
    <row r="19" spans="1:13" x14ac:dyDescent="0.2">
      <c r="A19" s="4" t="s">
        <v>0</v>
      </c>
      <c r="B19" s="41" t="s">
        <v>87</v>
      </c>
      <c r="C19" s="41" t="s">
        <v>88</v>
      </c>
      <c r="D19" s="41" t="s">
        <v>112</v>
      </c>
      <c r="E19" s="4" t="s">
        <v>38</v>
      </c>
      <c r="F19" s="4" t="s">
        <v>39</v>
      </c>
      <c r="H19" s="17" t="s">
        <v>0</v>
      </c>
      <c r="I19" s="41" t="s">
        <v>89</v>
      </c>
      <c r="J19" s="41" t="s">
        <v>90</v>
      </c>
      <c r="K19" s="18" t="s">
        <v>37</v>
      </c>
      <c r="L19" s="18" t="s">
        <v>85</v>
      </c>
      <c r="M19" s="18" t="s">
        <v>39</v>
      </c>
    </row>
    <row r="20" spans="1:13" x14ac:dyDescent="0.2">
      <c r="A20" s="5"/>
      <c r="B20" s="5"/>
      <c r="C20" s="5"/>
      <c r="D20" s="11"/>
      <c r="E20" s="11"/>
      <c r="F20" s="6"/>
      <c r="H20" s="19"/>
      <c r="I20" s="19"/>
      <c r="J20" s="19"/>
      <c r="K20" s="20"/>
      <c r="L20" s="21"/>
      <c r="M20" s="21"/>
    </row>
    <row r="21" spans="1:13" x14ac:dyDescent="0.2">
      <c r="A21" s="7" t="s">
        <v>42</v>
      </c>
      <c r="B21" s="7" t="s">
        <v>92</v>
      </c>
      <c r="C21" s="7">
        <v>400</v>
      </c>
      <c r="D21" s="35">
        <v>3.26</v>
      </c>
      <c r="E21" s="35">
        <v>15.8</v>
      </c>
      <c r="F21" s="38"/>
      <c r="H21" s="23" t="s">
        <v>42</v>
      </c>
      <c r="I21" s="7" t="s">
        <v>86</v>
      </c>
      <c r="J21" s="7">
        <v>5000</v>
      </c>
      <c r="K21" s="24" t="s">
        <v>81</v>
      </c>
      <c r="L21" s="44">
        <v>30</v>
      </c>
      <c r="M21" s="25"/>
    </row>
    <row r="22" spans="1:13" x14ac:dyDescent="0.2">
      <c r="A22" s="7" t="s">
        <v>43</v>
      </c>
      <c r="B22" s="7" t="s">
        <v>93</v>
      </c>
      <c r="C22" s="7">
        <v>600</v>
      </c>
      <c r="D22" s="35">
        <v>3.26</v>
      </c>
      <c r="E22" s="35">
        <v>16</v>
      </c>
      <c r="F22" s="38"/>
      <c r="H22" s="23" t="s">
        <v>43</v>
      </c>
      <c r="I22" s="7" t="s">
        <v>86</v>
      </c>
      <c r="J22" s="7">
        <v>5000</v>
      </c>
      <c r="K22" s="43" t="s">
        <v>82</v>
      </c>
      <c r="L22" s="44">
        <v>16</v>
      </c>
      <c r="M22" s="25"/>
    </row>
    <row r="23" spans="1:13" x14ac:dyDescent="0.2">
      <c r="A23" s="7" t="s">
        <v>44</v>
      </c>
      <c r="B23" s="7" t="s">
        <v>94</v>
      </c>
      <c r="C23" s="7">
        <v>700</v>
      </c>
      <c r="D23" s="35">
        <v>3.26</v>
      </c>
      <c r="E23" s="35">
        <v>17.2</v>
      </c>
      <c r="F23" s="38"/>
      <c r="H23" s="23" t="s">
        <v>44</v>
      </c>
      <c r="I23" s="7" t="s">
        <v>86</v>
      </c>
      <c r="J23" s="7">
        <v>5000</v>
      </c>
      <c r="K23" s="24" t="s">
        <v>83</v>
      </c>
      <c r="L23" s="44">
        <v>17</v>
      </c>
      <c r="M23" s="25"/>
    </row>
    <row r="24" spans="1:13" x14ac:dyDescent="0.2">
      <c r="A24" s="7" t="s">
        <v>45</v>
      </c>
      <c r="B24" s="7" t="s">
        <v>95</v>
      </c>
      <c r="C24" s="7">
        <v>900</v>
      </c>
      <c r="D24" s="35">
        <v>3.26</v>
      </c>
      <c r="E24" s="35">
        <v>22.45</v>
      </c>
      <c r="F24" s="38"/>
      <c r="H24" s="23" t="s">
        <v>45</v>
      </c>
      <c r="I24" s="7" t="s">
        <v>86</v>
      </c>
      <c r="J24" s="7">
        <v>5000</v>
      </c>
      <c r="K24" s="24" t="s">
        <v>84</v>
      </c>
      <c r="L24" s="44">
        <v>30</v>
      </c>
      <c r="M24" s="25"/>
    </row>
    <row r="25" spans="1:13" x14ac:dyDescent="0.2">
      <c r="A25" s="7" t="s">
        <v>46</v>
      </c>
      <c r="B25" s="45">
        <v>1213</v>
      </c>
      <c r="C25" s="7">
        <v>1100</v>
      </c>
      <c r="D25" s="35">
        <v>3.26</v>
      </c>
      <c r="E25" s="35">
        <v>27.1</v>
      </c>
      <c r="F25" s="38"/>
      <c r="H25" s="23" t="s">
        <v>46</v>
      </c>
      <c r="I25" s="7"/>
      <c r="J25" s="7"/>
      <c r="K25" s="24"/>
      <c r="L25" s="25"/>
      <c r="M25" s="25"/>
    </row>
    <row r="26" spans="1:13" x14ac:dyDescent="0.2">
      <c r="A26" s="7" t="s">
        <v>47</v>
      </c>
      <c r="B26" s="7" t="s">
        <v>96</v>
      </c>
      <c r="C26" s="7">
        <v>1100</v>
      </c>
      <c r="D26" s="35">
        <v>3.26</v>
      </c>
      <c r="E26" s="35">
        <v>26.9</v>
      </c>
      <c r="F26" s="38"/>
      <c r="H26" s="23" t="s">
        <v>47</v>
      </c>
      <c r="I26" s="7"/>
      <c r="J26" s="7"/>
      <c r="K26" s="24"/>
      <c r="L26" s="25"/>
      <c r="M26" s="25"/>
    </row>
    <row r="27" spans="1:13" x14ac:dyDescent="0.2">
      <c r="A27" s="7" t="s">
        <v>48</v>
      </c>
      <c r="B27" s="7" t="s">
        <v>98</v>
      </c>
      <c r="C27" s="7">
        <v>1700</v>
      </c>
      <c r="D27" s="35">
        <v>3.26</v>
      </c>
      <c r="E27" s="35">
        <v>26.9</v>
      </c>
      <c r="F27" s="38"/>
      <c r="H27" s="23" t="s">
        <v>48</v>
      </c>
      <c r="I27" s="23"/>
      <c r="J27" s="23"/>
      <c r="K27" s="24"/>
      <c r="L27" s="25"/>
      <c r="M27" s="25"/>
    </row>
    <row r="28" spans="1:13" x14ac:dyDescent="0.2">
      <c r="A28" s="7" t="s">
        <v>49</v>
      </c>
      <c r="B28" s="7" t="s">
        <v>99</v>
      </c>
      <c r="C28" s="7">
        <v>1800</v>
      </c>
      <c r="D28" s="35">
        <v>3.26</v>
      </c>
      <c r="E28" s="35">
        <v>25.9</v>
      </c>
      <c r="F28" s="38"/>
      <c r="H28" s="23" t="s">
        <v>49</v>
      </c>
      <c r="I28" s="23"/>
      <c r="J28" s="23"/>
      <c r="K28" s="24"/>
      <c r="L28" s="25"/>
      <c r="M28" s="25"/>
    </row>
    <row r="29" spans="1:13" x14ac:dyDescent="0.2">
      <c r="A29" s="7" t="s">
        <v>50</v>
      </c>
      <c r="B29" s="7" t="s">
        <v>103</v>
      </c>
      <c r="C29" s="7">
        <v>3600</v>
      </c>
      <c r="D29" s="35">
        <v>3.26</v>
      </c>
      <c r="E29" s="35">
        <v>23.35</v>
      </c>
      <c r="F29" s="38"/>
      <c r="H29" s="23" t="s">
        <v>50</v>
      </c>
      <c r="I29" s="23"/>
      <c r="J29" s="23"/>
      <c r="K29" s="24"/>
      <c r="L29" s="25"/>
      <c r="M29" s="25"/>
    </row>
    <row r="30" spans="1:13" x14ac:dyDescent="0.2">
      <c r="A30" s="7" t="s">
        <v>97</v>
      </c>
      <c r="B30" s="7" t="s">
        <v>102</v>
      </c>
      <c r="C30" s="9">
        <v>5000</v>
      </c>
      <c r="D30" s="36">
        <v>3.26</v>
      </c>
      <c r="E30" s="36">
        <v>39.549999999999997</v>
      </c>
      <c r="F30" s="39"/>
      <c r="H30" s="26"/>
      <c r="I30" s="26"/>
      <c r="J30" s="26"/>
      <c r="K30" s="27"/>
      <c r="L30" s="28"/>
      <c r="M30" s="28"/>
    </row>
    <row r="31" spans="1:13" x14ac:dyDescent="0.2">
      <c r="A31" s="7"/>
    </row>
    <row r="34" spans="1:13" ht="19" x14ac:dyDescent="0.25">
      <c r="A34" s="53" t="s">
        <v>51</v>
      </c>
      <c r="B34" s="53"/>
      <c r="C34" s="53"/>
      <c r="D34" s="53"/>
      <c r="E34" s="53"/>
      <c r="F34" s="53"/>
      <c r="H34" s="55" t="s">
        <v>53</v>
      </c>
      <c r="I34" s="56"/>
      <c r="J34" s="56"/>
      <c r="K34" s="56"/>
      <c r="L34" s="56"/>
      <c r="M34" s="57"/>
    </row>
    <row r="35" spans="1:13" x14ac:dyDescent="0.2">
      <c r="A35" s="4" t="s">
        <v>0</v>
      </c>
      <c r="B35" s="41" t="s">
        <v>87</v>
      </c>
      <c r="C35" s="41" t="s">
        <v>88</v>
      </c>
      <c r="D35" s="4" t="s">
        <v>37</v>
      </c>
      <c r="E35" s="4" t="s">
        <v>38</v>
      </c>
      <c r="F35" s="4" t="s">
        <v>39</v>
      </c>
      <c r="H35" s="17" t="s">
        <v>0</v>
      </c>
      <c r="I35" s="41" t="s">
        <v>89</v>
      </c>
      <c r="J35" s="41" t="s">
        <v>90</v>
      </c>
      <c r="K35" s="18" t="s">
        <v>37</v>
      </c>
      <c r="L35" s="18" t="s">
        <v>38</v>
      </c>
      <c r="M35" s="18" t="s">
        <v>39</v>
      </c>
    </row>
    <row r="36" spans="1:13" x14ac:dyDescent="0.2">
      <c r="A36" s="5"/>
      <c r="B36" s="5"/>
      <c r="C36" s="5"/>
      <c r="D36" s="11"/>
      <c r="E36" s="11"/>
      <c r="F36" s="6"/>
      <c r="H36" s="19"/>
      <c r="I36" s="19"/>
      <c r="J36" s="19"/>
      <c r="K36" s="20"/>
      <c r="L36" s="46"/>
      <c r="M36" s="21"/>
    </row>
    <row r="37" spans="1:13" x14ac:dyDescent="0.2">
      <c r="A37" s="7" t="s">
        <v>42</v>
      </c>
      <c r="B37" s="7" t="s">
        <v>98</v>
      </c>
      <c r="C37" s="7">
        <v>1000</v>
      </c>
      <c r="D37" s="12">
        <v>3.26</v>
      </c>
      <c r="E37" s="35">
        <v>25.5</v>
      </c>
      <c r="F37" s="8"/>
      <c r="H37" s="23" t="s">
        <v>42</v>
      </c>
      <c r="I37" s="23" t="s">
        <v>92</v>
      </c>
      <c r="J37" s="23">
        <v>300</v>
      </c>
      <c r="K37" s="24">
        <v>3.26</v>
      </c>
      <c r="L37" s="44">
        <v>15.8</v>
      </c>
      <c r="M37" s="25"/>
    </row>
    <row r="38" spans="1:13" x14ac:dyDescent="0.2">
      <c r="A38" s="7" t="s">
        <v>43</v>
      </c>
      <c r="B38" s="7" t="s">
        <v>98</v>
      </c>
      <c r="C38" s="7">
        <v>1000</v>
      </c>
      <c r="D38" s="12">
        <v>3.26</v>
      </c>
      <c r="E38" s="35">
        <v>25.5</v>
      </c>
      <c r="F38" s="8"/>
      <c r="H38" s="23" t="s">
        <v>43</v>
      </c>
      <c r="I38" s="47" t="s">
        <v>108</v>
      </c>
      <c r="J38" s="47">
        <v>1000</v>
      </c>
      <c r="K38" s="24">
        <v>3.26</v>
      </c>
      <c r="L38" s="44">
        <v>25</v>
      </c>
      <c r="M38" s="25"/>
    </row>
    <row r="39" spans="1:13" x14ac:dyDescent="0.2">
      <c r="A39" s="7" t="s">
        <v>44</v>
      </c>
      <c r="B39" s="7" t="s">
        <v>100</v>
      </c>
      <c r="C39" s="7">
        <v>1600</v>
      </c>
      <c r="D39" s="12">
        <v>3.26</v>
      </c>
      <c r="E39" s="14">
        <v>23.35</v>
      </c>
      <c r="F39" s="8"/>
      <c r="H39" s="23" t="s">
        <v>44</v>
      </c>
      <c r="I39" s="23" t="s">
        <v>105</v>
      </c>
      <c r="J39" s="23">
        <v>1500</v>
      </c>
      <c r="K39" s="24">
        <v>3.26</v>
      </c>
      <c r="L39" s="44">
        <v>26.4</v>
      </c>
      <c r="M39" s="25"/>
    </row>
    <row r="40" spans="1:13" x14ac:dyDescent="0.2">
      <c r="A40" s="7" t="s">
        <v>45</v>
      </c>
      <c r="B40" s="7" t="s">
        <v>100</v>
      </c>
      <c r="C40" s="7">
        <v>1600</v>
      </c>
      <c r="D40" s="12">
        <v>3.26</v>
      </c>
      <c r="E40" s="14">
        <v>23.35</v>
      </c>
      <c r="F40" s="8"/>
      <c r="H40" s="23" t="s">
        <v>45</v>
      </c>
      <c r="I40" s="23" t="s">
        <v>106</v>
      </c>
      <c r="J40" s="23">
        <v>2500</v>
      </c>
      <c r="K40" s="24">
        <v>3.26</v>
      </c>
      <c r="L40" s="44">
        <v>23.35</v>
      </c>
      <c r="M40" s="25"/>
    </row>
    <row r="41" spans="1:13" x14ac:dyDescent="0.2">
      <c r="A41" s="7" t="s">
        <v>46</v>
      </c>
      <c r="B41" s="7" t="s">
        <v>101</v>
      </c>
      <c r="C41" s="7">
        <v>2500</v>
      </c>
      <c r="D41" s="12">
        <v>3.26</v>
      </c>
      <c r="E41" s="14">
        <v>23.35</v>
      </c>
      <c r="F41" s="8"/>
      <c r="H41" s="23" t="s">
        <v>46</v>
      </c>
      <c r="I41" s="23" t="s">
        <v>107</v>
      </c>
      <c r="J41" s="23">
        <v>5000</v>
      </c>
      <c r="K41" s="24">
        <v>3.26</v>
      </c>
      <c r="L41" s="44">
        <v>39.549999999999997</v>
      </c>
      <c r="M41" s="25"/>
    </row>
    <row r="42" spans="1:13" x14ac:dyDescent="0.2">
      <c r="A42" s="7" t="s">
        <v>47</v>
      </c>
      <c r="B42" s="7" t="s">
        <v>102</v>
      </c>
      <c r="C42" s="7">
        <v>5000</v>
      </c>
      <c r="D42" s="12">
        <v>3.26</v>
      </c>
      <c r="E42" s="14">
        <v>39.549999999999997</v>
      </c>
      <c r="F42" s="8"/>
      <c r="H42" s="23"/>
      <c r="I42" s="23"/>
      <c r="J42" s="23"/>
      <c r="K42" s="24"/>
      <c r="L42" s="44"/>
      <c r="M42" s="25"/>
    </row>
    <row r="43" spans="1:13" x14ac:dyDescent="0.2">
      <c r="A43" s="7"/>
      <c r="B43" s="7"/>
      <c r="C43" s="7"/>
      <c r="D43" s="12"/>
      <c r="E43" s="14"/>
      <c r="F43" s="8"/>
      <c r="H43" s="23"/>
      <c r="I43" s="23"/>
      <c r="J43" s="23"/>
      <c r="K43" s="24"/>
      <c r="L43" s="25"/>
      <c r="M43" s="25"/>
    </row>
    <row r="44" spans="1:13" x14ac:dyDescent="0.2">
      <c r="A44" s="7"/>
      <c r="B44" s="7"/>
      <c r="C44" s="7"/>
      <c r="D44" s="12"/>
      <c r="E44" s="14"/>
      <c r="F44" s="8"/>
      <c r="H44" s="23"/>
      <c r="I44" s="23"/>
      <c r="J44" s="23"/>
      <c r="K44" s="24"/>
      <c r="L44" s="25"/>
      <c r="M44" s="25"/>
    </row>
    <row r="45" spans="1:13" x14ac:dyDescent="0.2">
      <c r="A45" s="7"/>
      <c r="B45" s="7"/>
      <c r="C45" s="7"/>
      <c r="D45" s="12"/>
      <c r="E45" s="14"/>
      <c r="F45" s="8"/>
      <c r="H45" s="23"/>
      <c r="I45" s="23"/>
      <c r="J45" s="23"/>
      <c r="K45" s="24"/>
      <c r="L45" s="25"/>
      <c r="M45" s="25"/>
    </row>
    <row r="46" spans="1:13" x14ac:dyDescent="0.2">
      <c r="A46" s="16"/>
      <c r="B46" s="16"/>
      <c r="C46" s="16"/>
      <c r="D46" s="15"/>
      <c r="E46" s="15"/>
      <c r="F46" s="10"/>
      <c r="H46" s="26"/>
      <c r="I46" s="26"/>
      <c r="J46" s="26"/>
      <c r="K46" s="27"/>
      <c r="L46" s="28"/>
      <c r="M46" s="28"/>
    </row>
    <row r="48" spans="1:13" x14ac:dyDescent="0.2">
      <c r="F48" s="23" t="s">
        <v>104</v>
      </c>
    </row>
    <row r="49" spans="6:12" ht="21" x14ac:dyDescent="0.25">
      <c r="F49" s="23" t="s">
        <v>105</v>
      </c>
      <c r="H49" s="54" t="s">
        <v>63</v>
      </c>
      <c r="I49" s="54"/>
      <c r="J49" s="54"/>
      <c r="K49" s="54"/>
    </row>
    <row r="50" spans="6:12" x14ac:dyDescent="0.2">
      <c r="F50" s="23" t="s">
        <v>92</v>
      </c>
      <c r="H50" s="4" t="s">
        <v>58</v>
      </c>
      <c r="I50" s="4"/>
      <c r="J50" s="4"/>
      <c r="K50" s="29" t="s">
        <v>59</v>
      </c>
      <c r="L50" s="29" t="s">
        <v>57</v>
      </c>
    </row>
    <row r="51" spans="6:12" x14ac:dyDescent="0.2">
      <c r="F51" s="23" t="s">
        <v>106</v>
      </c>
      <c r="H51" s="30"/>
      <c r="I51" s="30"/>
      <c r="J51" s="30"/>
      <c r="K51" s="31" t="s">
        <v>77</v>
      </c>
      <c r="L51" s="34">
        <v>59.5</v>
      </c>
    </row>
    <row r="52" spans="6:12" x14ac:dyDescent="0.2">
      <c r="F52" s="23" t="s">
        <v>107</v>
      </c>
      <c r="H52" s="7" t="s">
        <v>64</v>
      </c>
      <c r="I52" s="7"/>
      <c r="J52" s="7"/>
      <c r="K52" s="14" t="s">
        <v>76</v>
      </c>
      <c r="L52" s="35">
        <v>146</v>
      </c>
    </row>
    <row r="53" spans="6:12" x14ac:dyDescent="0.2">
      <c r="F53" s="23"/>
      <c r="H53" s="7" t="s">
        <v>65</v>
      </c>
      <c r="I53" s="7"/>
      <c r="J53" s="7"/>
      <c r="K53" s="14" t="s">
        <v>69</v>
      </c>
      <c r="L53" s="35">
        <v>220</v>
      </c>
    </row>
    <row r="54" spans="6:12" x14ac:dyDescent="0.2">
      <c r="F54" s="40"/>
      <c r="H54" s="9"/>
      <c r="I54" s="9"/>
      <c r="J54" s="9"/>
      <c r="K54" s="15"/>
      <c r="L54" s="36"/>
    </row>
    <row r="55" spans="6:12" x14ac:dyDescent="0.2">
      <c r="F55" s="40"/>
    </row>
    <row r="57" spans="6:12" ht="21" x14ac:dyDescent="0.25">
      <c r="H57" s="54" t="s">
        <v>66</v>
      </c>
      <c r="I57" s="54"/>
      <c r="J57" s="54"/>
      <c r="K57" s="54"/>
    </row>
    <row r="58" spans="6:12" x14ac:dyDescent="0.2">
      <c r="H58" s="4" t="s">
        <v>58</v>
      </c>
      <c r="I58" s="4"/>
      <c r="J58" s="4"/>
      <c r="K58" s="29" t="s">
        <v>59</v>
      </c>
      <c r="L58" s="29" t="s">
        <v>57</v>
      </c>
    </row>
    <row r="59" spans="6:12" x14ac:dyDescent="0.2">
      <c r="H59" s="30"/>
      <c r="I59" s="30"/>
      <c r="J59" s="30"/>
      <c r="K59" s="31" t="s">
        <v>77</v>
      </c>
      <c r="L59" s="31">
        <v>146</v>
      </c>
    </row>
    <row r="60" spans="6:12" x14ac:dyDescent="0.2">
      <c r="H60" s="7" t="s">
        <v>67</v>
      </c>
      <c r="I60" s="7"/>
      <c r="J60" s="7"/>
      <c r="K60" s="14" t="s">
        <v>76</v>
      </c>
      <c r="L60" s="14">
        <v>175</v>
      </c>
    </row>
    <row r="61" spans="6:12" x14ac:dyDescent="0.2">
      <c r="H61" s="7" t="s">
        <v>68</v>
      </c>
      <c r="I61" s="7"/>
      <c r="J61" s="7"/>
      <c r="K61" s="14" t="s">
        <v>78</v>
      </c>
      <c r="L61" s="14">
        <v>220</v>
      </c>
    </row>
    <row r="62" spans="6:12" x14ac:dyDescent="0.2">
      <c r="H62" s="9"/>
      <c r="I62" s="9"/>
      <c r="J62" s="9"/>
      <c r="K62" s="15"/>
      <c r="L62" s="15"/>
    </row>
    <row r="64" spans="6:12" ht="19" x14ac:dyDescent="0.25">
      <c r="H64" s="50" t="s">
        <v>70</v>
      </c>
      <c r="I64" s="50"/>
      <c r="J64" s="50"/>
      <c r="K64" s="50"/>
      <c r="L64" s="50"/>
    </row>
    <row r="65" spans="8:12" x14ac:dyDescent="0.2">
      <c r="H65" s="32" t="s">
        <v>71</v>
      </c>
      <c r="I65" s="42"/>
      <c r="J65" s="42"/>
      <c r="K65" s="51" t="s">
        <v>72</v>
      </c>
      <c r="L65" s="52"/>
    </row>
    <row r="66" spans="8:12" x14ac:dyDescent="0.2">
      <c r="H66" s="14" t="s">
        <v>73</v>
      </c>
      <c r="I66" s="22"/>
      <c r="J66" s="22"/>
      <c r="K66" s="33">
        <v>2250</v>
      </c>
      <c r="L66" s="8"/>
    </row>
    <row r="67" spans="8:12" x14ac:dyDescent="0.2">
      <c r="H67" s="14" t="s">
        <v>74</v>
      </c>
      <c r="I67" s="22"/>
      <c r="J67" s="22"/>
      <c r="K67" s="22" t="s">
        <v>75</v>
      </c>
      <c r="L67" s="8"/>
    </row>
    <row r="68" spans="8:12" x14ac:dyDescent="0.2">
      <c r="H68" s="14"/>
      <c r="I68" s="22"/>
      <c r="J68" s="22"/>
      <c r="K68" s="22"/>
      <c r="L68" s="8"/>
    </row>
    <row r="69" spans="8:12" x14ac:dyDescent="0.2">
      <c r="H69" s="15"/>
      <c r="I69" s="16"/>
      <c r="J69" s="16"/>
      <c r="K69" s="16"/>
      <c r="L69" s="10"/>
    </row>
  </sheetData>
  <mergeCells count="10">
    <mergeCell ref="H49:K49"/>
    <mergeCell ref="H57:K57"/>
    <mergeCell ref="H64:L64"/>
    <mergeCell ref="K65:L65"/>
    <mergeCell ref="A1:F1"/>
    <mergeCell ref="A18:F18"/>
    <mergeCell ref="A34:F34"/>
    <mergeCell ref="H18:M18"/>
    <mergeCell ref="H34:M34"/>
    <mergeCell ref="H1:K1"/>
  </mergeCells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baseColWidth="10" defaultColWidth="8.83203125" defaultRowHeight="15" x14ac:dyDescent="0.2"/>
  <cols>
    <col min="1" max="6" width="20" customWidth="1"/>
  </cols>
  <sheetData>
    <row r="1" spans="1:6" x14ac:dyDescent="0.2">
      <c r="A1" s="1" t="s">
        <v>14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4</v>
      </c>
    </row>
    <row r="2" spans="1:6" x14ac:dyDescent="0.2">
      <c r="A2" t="s">
        <v>16</v>
      </c>
      <c r="B2" s="2"/>
      <c r="C2" s="2"/>
      <c r="D2" s="2"/>
      <c r="E2" s="2"/>
      <c r="F2" s="2">
        <f>SUM(B2:E2)</f>
        <v>0</v>
      </c>
    </row>
    <row r="3" spans="1:6" x14ac:dyDescent="0.2">
      <c r="A3" t="s">
        <v>17</v>
      </c>
      <c r="B3" s="2"/>
      <c r="C3" s="2"/>
      <c r="D3" s="2"/>
      <c r="E3" s="2"/>
      <c r="F3" s="2">
        <f>SUM(B3:E3)</f>
        <v>0</v>
      </c>
    </row>
    <row r="4" spans="1:6" x14ac:dyDescent="0.2">
      <c r="A4" t="s">
        <v>18</v>
      </c>
      <c r="B4" s="2"/>
      <c r="C4" s="2"/>
      <c r="D4" s="2"/>
      <c r="E4" s="2"/>
      <c r="F4" s="2">
        <f>SUM(B4:E4)</f>
        <v>0</v>
      </c>
    </row>
    <row r="5" spans="1:6" x14ac:dyDescent="0.2">
      <c r="A5" t="s">
        <v>19</v>
      </c>
      <c r="B5" s="2"/>
      <c r="C5" s="2"/>
      <c r="D5" s="2"/>
      <c r="E5" s="2"/>
      <c r="F5" s="2">
        <f>SUM(B5:E5)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9" sqref="B9"/>
    </sheetView>
  </sheetViews>
  <sheetFormatPr baseColWidth="10" defaultColWidth="8.83203125" defaultRowHeight="15" x14ac:dyDescent="0.2"/>
  <cols>
    <col min="1" max="2" width="25" customWidth="1"/>
  </cols>
  <sheetData>
    <row r="1" spans="1:2" x14ac:dyDescent="0.2">
      <c r="A1" s="3" t="s">
        <v>20</v>
      </c>
      <c r="B1" s="3" t="s">
        <v>21</v>
      </c>
    </row>
    <row r="2" spans="1:2" x14ac:dyDescent="0.2">
      <c r="A2" t="s">
        <v>22</v>
      </c>
      <c r="B2" s="2">
        <v>750</v>
      </c>
    </row>
    <row r="3" spans="1:2" x14ac:dyDescent="0.2">
      <c r="A3" t="s">
        <v>23</v>
      </c>
      <c r="B3" s="2">
        <v>2500</v>
      </c>
    </row>
    <row r="4" spans="1:2" x14ac:dyDescent="0.2">
      <c r="A4" t="s">
        <v>24</v>
      </c>
      <c r="B4" s="2">
        <v>750</v>
      </c>
    </row>
    <row r="5" spans="1:2" x14ac:dyDescent="0.2">
      <c r="A5" t="s">
        <v>25</v>
      </c>
      <c r="B5" s="2">
        <v>0</v>
      </c>
    </row>
    <row r="6" spans="1:2" x14ac:dyDescent="0.2">
      <c r="A6" t="s">
        <v>79</v>
      </c>
      <c r="B6" s="2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A11" sqref="A11"/>
    </sheetView>
  </sheetViews>
  <sheetFormatPr baseColWidth="10" defaultColWidth="8.83203125" defaultRowHeight="15" x14ac:dyDescent="0.2"/>
  <cols>
    <col min="1" max="3" width="28" customWidth="1"/>
  </cols>
  <sheetData>
    <row r="1" spans="1:3" x14ac:dyDescent="0.2">
      <c r="A1" s="3" t="s">
        <v>26</v>
      </c>
      <c r="B1" s="3" t="s">
        <v>27</v>
      </c>
      <c r="C1" s="3" t="s">
        <v>28</v>
      </c>
    </row>
    <row r="2" spans="1:3" x14ac:dyDescent="0.2">
      <c r="A2" t="s">
        <v>29</v>
      </c>
      <c r="B2" t="s">
        <v>30</v>
      </c>
      <c r="C2" s="2">
        <v>37.799999999999997</v>
      </c>
    </row>
    <row r="3" spans="1:3" x14ac:dyDescent="0.2">
      <c r="A3" t="s">
        <v>29</v>
      </c>
      <c r="B3" t="s">
        <v>31</v>
      </c>
      <c r="C3" s="2">
        <v>59.5</v>
      </c>
    </row>
    <row r="4" spans="1:3" x14ac:dyDescent="0.2">
      <c r="A4" t="s">
        <v>29</v>
      </c>
      <c r="B4" t="s">
        <v>32</v>
      </c>
      <c r="C4" s="2">
        <v>146</v>
      </c>
    </row>
    <row r="5" spans="1:3" x14ac:dyDescent="0.2">
      <c r="A5" t="s">
        <v>33</v>
      </c>
      <c r="B5" t="s">
        <v>34</v>
      </c>
      <c r="C5" s="2">
        <v>57</v>
      </c>
    </row>
    <row r="6" spans="1:3" x14ac:dyDescent="0.2">
      <c r="A6" t="s">
        <v>33</v>
      </c>
      <c r="B6" t="s">
        <v>35</v>
      </c>
      <c r="C6" s="2">
        <v>85</v>
      </c>
    </row>
    <row r="7" spans="1:3" x14ac:dyDescent="0.2">
      <c r="A7" t="s">
        <v>33</v>
      </c>
      <c r="B7" t="s">
        <v>36</v>
      </c>
      <c r="C7" s="2">
        <v>175</v>
      </c>
    </row>
    <row r="11" spans="1:3" x14ac:dyDescent="0.2">
      <c r="A11" t="s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AB0E-8EB0-45FB-A556-DB8C8710C025}">
  <dimension ref="A1:M69"/>
  <sheetViews>
    <sheetView tabSelected="1" view="pageBreakPreview" zoomScale="118" zoomScaleNormal="92" workbookViewId="0">
      <selection activeCell="E12" sqref="E12"/>
    </sheetView>
  </sheetViews>
  <sheetFormatPr baseColWidth="10" defaultColWidth="8.83203125" defaultRowHeight="15" x14ac:dyDescent="0.2"/>
  <cols>
    <col min="1" max="1" width="11.33203125" customWidth="1"/>
    <col min="2" max="2" width="7.33203125" customWidth="1"/>
    <col min="3" max="3" width="8.83203125" customWidth="1"/>
    <col min="4" max="4" width="17.6640625" bestFit="1" customWidth="1"/>
    <col min="5" max="5" width="11.6640625" bestFit="1" customWidth="1"/>
    <col min="6" max="6" width="13.5" bestFit="1" customWidth="1"/>
    <col min="7" max="7" width="13.33203125" customWidth="1"/>
    <col min="8" max="8" width="14.5" customWidth="1"/>
    <col min="9" max="9" width="17" customWidth="1"/>
    <col min="10" max="10" width="7.6640625" customWidth="1"/>
    <col min="11" max="11" width="66.83203125" customWidth="1"/>
    <col min="12" max="12" width="14.5" customWidth="1"/>
    <col min="13" max="13" width="13.5" customWidth="1"/>
    <col min="14" max="14" width="0.6640625" customWidth="1"/>
  </cols>
  <sheetData>
    <row r="1" spans="1:12" ht="21" x14ac:dyDescent="0.25">
      <c r="A1" s="53" t="s">
        <v>40</v>
      </c>
      <c r="B1" s="53"/>
      <c r="C1" s="53"/>
      <c r="D1" s="53"/>
      <c r="E1" s="53"/>
      <c r="F1" s="53"/>
      <c r="H1" s="54" t="s">
        <v>54</v>
      </c>
      <c r="I1" s="54"/>
      <c r="J1" s="54"/>
      <c r="K1" s="54"/>
    </row>
    <row r="2" spans="1:12" x14ac:dyDescent="0.2">
      <c r="A2" s="4" t="s">
        <v>0</v>
      </c>
      <c r="B2" s="41" t="s">
        <v>87</v>
      </c>
      <c r="C2" s="41" t="s">
        <v>88</v>
      </c>
      <c r="D2" s="4" t="s">
        <v>37</v>
      </c>
      <c r="E2" s="41" t="s">
        <v>111</v>
      </c>
      <c r="F2" s="4" t="s">
        <v>39</v>
      </c>
      <c r="H2" s="4" t="s">
        <v>58</v>
      </c>
      <c r="I2" s="41" t="s">
        <v>89</v>
      </c>
      <c r="J2" s="41" t="s">
        <v>90</v>
      </c>
      <c r="K2" s="29" t="s">
        <v>59</v>
      </c>
      <c r="L2" s="29" t="s">
        <v>57</v>
      </c>
    </row>
    <row r="3" spans="1:12" x14ac:dyDescent="0.2">
      <c r="A3" s="5"/>
      <c r="B3" s="5"/>
      <c r="C3" s="5"/>
      <c r="D3" s="11"/>
      <c r="E3" s="11"/>
      <c r="F3" s="37"/>
      <c r="H3" s="30"/>
      <c r="I3" s="30"/>
      <c r="J3" s="30"/>
      <c r="K3" s="31"/>
      <c r="L3" s="34"/>
    </row>
    <row r="4" spans="1:12" x14ac:dyDescent="0.2">
      <c r="A4" s="7" t="s">
        <v>5</v>
      </c>
      <c r="B4" s="7" t="s">
        <v>86</v>
      </c>
      <c r="C4" s="7">
        <v>5000</v>
      </c>
      <c r="D4" s="12">
        <v>25</v>
      </c>
      <c r="E4" s="14">
        <v>5250</v>
      </c>
      <c r="F4" s="12"/>
      <c r="H4" s="7" t="s">
        <v>55</v>
      </c>
      <c r="I4" s="7"/>
      <c r="J4" s="7"/>
      <c r="K4" s="14" t="s">
        <v>114</v>
      </c>
      <c r="L4" s="35">
        <v>2500</v>
      </c>
    </row>
    <row r="5" spans="1:12" x14ac:dyDescent="0.2">
      <c r="A5" s="7" t="s">
        <v>6</v>
      </c>
      <c r="B5" s="7" t="s">
        <v>86</v>
      </c>
      <c r="C5" s="7">
        <v>5000</v>
      </c>
      <c r="D5" s="12">
        <v>15</v>
      </c>
      <c r="E5" s="14">
        <v>4750</v>
      </c>
      <c r="F5" s="12"/>
      <c r="H5" s="7" t="s">
        <v>56</v>
      </c>
      <c r="I5" s="7"/>
      <c r="J5" s="7"/>
      <c r="K5" s="14" t="s">
        <v>120</v>
      </c>
      <c r="L5" s="35">
        <v>450</v>
      </c>
    </row>
    <row r="6" spans="1:12" x14ac:dyDescent="0.2">
      <c r="A6" s="7" t="s">
        <v>7</v>
      </c>
      <c r="B6" s="7" t="s">
        <v>86</v>
      </c>
      <c r="C6" s="7">
        <v>5000</v>
      </c>
      <c r="D6" s="12">
        <v>29</v>
      </c>
      <c r="E6" s="14">
        <v>14500</v>
      </c>
      <c r="F6" s="12"/>
      <c r="H6" s="7" t="s">
        <v>110</v>
      </c>
      <c r="I6" s="7"/>
      <c r="J6" s="7"/>
      <c r="K6" s="14" t="s">
        <v>115</v>
      </c>
      <c r="L6" s="35"/>
    </row>
    <row r="7" spans="1:12" ht="16" x14ac:dyDescent="0.2">
      <c r="A7" s="7" t="s">
        <v>8</v>
      </c>
      <c r="B7" s="7" t="s">
        <v>86</v>
      </c>
      <c r="C7" s="7">
        <v>5000</v>
      </c>
      <c r="D7" s="12">
        <v>15</v>
      </c>
      <c r="E7" s="14">
        <v>5250</v>
      </c>
      <c r="F7" s="12"/>
      <c r="H7" s="7" t="s">
        <v>62</v>
      </c>
      <c r="I7" s="7"/>
      <c r="J7" s="7"/>
      <c r="K7" s="48" t="s">
        <v>116</v>
      </c>
      <c r="L7" s="35"/>
    </row>
    <row r="8" spans="1:12" x14ac:dyDescent="0.2">
      <c r="A8" s="7" t="s">
        <v>9</v>
      </c>
      <c r="B8" s="7" t="s">
        <v>86</v>
      </c>
      <c r="C8" s="7">
        <v>5000</v>
      </c>
      <c r="D8" s="12">
        <v>15</v>
      </c>
      <c r="E8" s="14">
        <v>8250</v>
      </c>
      <c r="F8" s="12"/>
      <c r="H8" s="7" t="s">
        <v>121</v>
      </c>
      <c r="K8" s="14" t="s">
        <v>122</v>
      </c>
      <c r="L8" s="35"/>
    </row>
    <row r="9" spans="1:12" x14ac:dyDescent="0.2">
      <c r="A9" s="7" t="s">
        <v>10</v>
      </c>
      <c r="B9" s="7" t="s">
        <v>86</v>
      </c>
      <c r="C9" s="7">
        <v>5000</v>
      </c>
      <c r="D9" s="12">
        <v>15</v>
      </c>
      <c r="E9" s="14">
        <v>14500</v>
      </c>
      <c r="F9" s="12"/>
      <c r="H9" s="7" t="s">
        <v>123</v>
      </c>
      <c r="I9" s="7"/>
      <c r="J9" s="7"/>
      <c r="K9" s="14" t="s">
        <v>124</v>
      </c>
      <c r="L9" s="35"/>
    </row>
    <row r="10" spans="1:12" x14ac:dyDescent="0.2">
      <c r="A10" s="7" t="s">
        <v>11</v>
      </c>
      <c r="B10" s="7" t="s">
        <v>86</v>
      </c>
      <c r="C10" s="7">
        <v>5000</v>
      </c>
      <c r="D10" s="12">
        <v>9</v>
      </c>
      <c r="E10" s="14">
        <v>5500</v>
      </c>
      <c r="F10" s="12"/>
      <c r="H10" s="22"/>
      <c r="I10" s="22"/>
      <c r="J10" s="22"/>
      <c r="K10" s="14"/>
      <c r="L10" s="35"/>
    </row>
    <row r="11" spans="1:12" ht="15.5" customHeight="1" x14ac:dyDescent="0.2">
      <c r="A11" s="7" t="s">
        <v>12</v>
      </c>
      <c r="B11" s="7" t="s">
        <v>86</v>
      </c>
      <c r="C11" s="7">
        <v>5000</v>
      </c>
      <c r="D11" s="12">
        <v>25</v>
      </c>
      <c r="E11" s="14">
        <v>8250</v>
      </c>
      <c r="F11" s="12"/>
      <c r="H11" s="22"/>
      <c r="I11" s="22"/>
      <c r="J11" s="22"/>
      <c r="K11" s="14" t="s">
        <v>91</v>
      </c>
      <c r="L11" s="35"/>
    </row>
    <row r="12" spans="1:12" x14ac:dyDescent="0.2">
      <c r="A12" s="9" t="s">
        <v>13</v>
      </c>
      <c r="B12" s="7" t="s">
        <v>86</v>
      </c>
      <c r="C12" s="7">
        <v>5000</v>
      </c>
      <c r="D12" s="13">
        <v>29</v>
      </c>
      <c r="E12" s="14">
        <v>14500</v>
      </c>
      <c r="F12" s="12"/>
      <c r="H12" s="22"/>
      <c r="I12" s="22"/>
      <c r="J12" s="22"/>
      <c r="K12" s="14"/>
      <c r="L12" s="35"/>
    </row>
    <row r="13" spans="1:12" x14ac:dyDescent="0.2">
      <c r="A13" s="7"/>
      <c r="B13" s="7"/>
      <c r="C13" s="7"/>
      <c r="D13" s="12"/>
      <c r="E13" s="14"/>
      <c r="F13" s="38"/>
      <c r="H13" s="22"/>
      <c r="I13" s="22"/>
      <c r="J13" s="22"/>
      <c r="K13" s="14"/>
      <c r="L13" s="35"/>
    </row>
    <row r="14" spans="1:12" x14ac:dyDescent="0.2">
      <c r="A14" s="7"/>
      <c r="B14" s="7"/>
      <c r="C14" s="7"/>
      <c r="D14" s="12"/>
      <c r="E14" s="14"/>
      <c r="F14" s="38"/>
      <c r="H14" s="22"/>
      <c r="I14" s="22"/>
      <c r="J14" s="22"/>
      <c r="K14" s="14"/>
      <c r="L14" s="35"/>
    </row>
    <row r="15" spans="1:12" x14ac:dyDescent="0.2">
      <c r="A15" s="9"/>
      <c r="C15" s="9"/>
      <c r="D15" s="13"/>
      <c r="E15" s="15"/>
      <c r="F15" s="39"/>
      <c r="H15" s="16"/>
      <c r="I15" s="16"/>
      <c r="J15" s="16"/>
      <c r="K15" s="15"/>
      <c r="L15" s="36"/>
    </row>
    <row r="18" spans="1:13" ht="19" x14ac:dyDescent="0.25">
      <c r="A18" s="53" t="s">
        <v>41</v>
      </c>
      <c r="B18" s="53"/>
      <c r="C18" s="53"/>
      <c r="D18" s="53"/>
      <c r="E18" s="53"/>
      <c r="F18" s="53"/>
      <c r="H18" s="55" t="s">
        <v>52</v>
      </c>
      <c r="I18" s="56"/>
      <c r="J18" s="56"/>
      <c r="K18" s="56"/>
      <c r="L18" s="56"/>
      <c r="M18" s="57"/>
    </row>
    <row r="19" spans="1:13" x14ac:dyDescent="0.2">
      <c r="A19" s="4" t="s">
        <v>0</v>
      </c>
      <c r="B19" s="41" t="s">
        <v>87</v>
      </c>
      <c r="C19" s="41" t="s">
        <v>88</v>
      </c>
      <c r="D19" s="41" t="s">
        <v>112</v>
      </c>
      <c r="E19" s="4" t="s">
        <v>38</v>
      </c>
      <c r="F19" s="41" t="s">
        <v>113</v>
      </c>
      <c r="H19" s="17" t="s">
        <v>0</v>
      </c>
      <c r="I19" s="41" t="s">
        <v>89</v>
      </c>
      <c r="J19" s="41" t="s">
        <v>90</v>
      </c>
      <c r="K19" s="18" t="s">
        <v>37</v>
      </c>
      <c r="L19" s="18" t="s">
        <v>85</v>
      </c>
      <c r="M19" s="18" t="s">
        <v>39</v>
      </c>
    </row>
    <row r="20" spans="1:13" x14ac:dyDescent="0.2">
      <c r="A20" s="5"/>
      <c r="B20" s="5"/>
      <c r="C20" s="5"/>
      <c r="D20" s="11"/>
      <c r="E20" s="11"/>
      <c r="F20" s="6"/>
      <c r="H20" s="19"/>
      <c r="I20" s="19"/>
      <c r="J20" s="19"/>
      <c r="K20" s="20"/>
      <c r="L20" s="21"/>
      <c r="M20" s="21"/>
    </row>
    <row r="21" spans="1:13" x14ac:dyDescent="0.2">
      <c r="A21" s="7" t="s">
        <v>42</v>
      </c>
      <c r="B21" s="7" t="s">
        <v>92</v>
      </c>
      <c r="C21" s="7">
        <v>400</v>
      </c>
      <c r="D21" s="35">
        <v>3.26</v>
      </c>
      <c r="E21" s="35">
        <v>14.23</v>
      </c>
      <c r="F21" s="38">
        <v>2600</v>
      </c>
      <c r="H21" s="23" t="s">
        <v>42</v>
      </c>
      <c r="I21" s="7" t="s">
        <v>86</v>
      </c>
      <c r="J21" s="7">
        <v>5000</v>
      </c>
      <c r="K21" s="24" t="s">
        <v>81</v>
      </c>
      <c r="L21" s="44">
        <v>29</v>
      </c>
      <c r="M21" s="25">
        <v>14500</v>
      </c>
    </row>
    <row r="22" spans="1:13" x14ac:dyDescent="0.2">
      <c r="A22" s="7" t="s">
        <v>43</v>
      </c>
      <c r="B22" s="7" t="s">
        <v>93</v>
      </c>
      <c r="C22" s="7">
        <v>600</v>
      </c>
      <c r="D22" s="35">
        <v>3.26</v>
      </c>
      <c r="E22" s="35">
        <v>14.43</v>
      </c>
      <c r="F22" s="38">
        <v>2600</v>
      </c>
      <c r="H22" s="23" t="s">
        <v>43</v>
      </c>
      <c r="I22" s="7" t="s">
        <v>86</v>
      </c>
      <c r="J22" s="7">
        <v>5000</v>
      </c>
      <c r="K22" s="43" t="s">
        <v>82</v>
      </c>
      <c r="L22" s="44">
        <v>15</v>
      </c>
      <c r="M22" s="25">
        <v>14500</v>
      </c>
    </row>
    <row r="23" spans="1:13" x14ac:dyDescent="0.2">
      <c r="A23" s="7" t="s">
        <v>44</v>
      </c>
      <c r="B23" s="7" t="s">
        <v>94</v>
      </c>
      <c r="C23" s="7">
        <v>700</v>
      </c>
      <c r="D23" s="35">
        <v>3.26</v>
      </c>
      <c r="E23" s="35">
        <v>16.03</v>
      </c>
      <c r="F23" s="38">
        <v>2600</v>
      </c>
      <c r="H23" s="23" t="s">
        <v>44</v>
      </c>
      <c r="I23" s="7" t="s">
        <v>86</v>
      </c>
      <c r="J23" s="7">
        <v>5000</v>
      </c>
      <c r="K23" s="24" t="s">
        <v>83</v>
      </c>
      <c r="L23" s="44">
        <v>15</v>
      </c>
      <c r="M23" s="25">
        <v>14500</v>
      </c>
    </row>
    <row r="24" spans="1:13" x14ac:dyDescent="0.2">
      <c r="A24" s="7" t="s">
        <v>45</v>
      </c>
      <c r="B24" s="7" t="s">
        <v>95</v>
      </c>
      <c r="C24" s="7">
        <v>900</v>
      </c>
      <c r="D24" s="35">
        <v>3.26</v>
      </c>
      <c r="E24" s="35">
        <v>20.61</v>
      </c>
      <c r="F24" s="38">
        <v>2600</v>
      </c>
      <c r="H24" s="23" t="s">
        <v>45</v>
      </c>
      <c r="I24" s="7" t="s">
        <v>86</v>
      </c>
      <c r="J24" s="7">
        <v>5000</v>
      </c>
      <c r="K24" s="24" t="s">
        <v>84</v>
      </c>
      <c r="L24" s="44">
        <v>29</v>
      </c>
      <c r="M24" s="25">
        <v>14500</v>
      </c>
    </row>
    <row r="25" spans="1:13" x14ac:dyDescent="0.2">
      <c r="A25" s="7" t="s">
        <v>46</v>
      </c>
      <c r="B25" s="45">
        <v>1213</v>
      </c>
      <c r="C25" s="7">
        <v>1100</v>
      </c>
      <c r="D25" s="35">
        <v>3.26</v>
      </c>
      <c r="E25" s="35">
        <v>26.58</v>
      </c>
      <c r="F25" s="38">
        <v>2600</v>
      </c>
      <c r="H25" s="23" t="s">
        <v>46</v>
      </c>
      <c r="I25" s="7"/>
      <c r="J25" s="7"/>
      <c r="K25" s="24"/>
      <c r="L25" s="25"/>
      <c r="M25" s="25"/>
    </row>
    <row r="26" spans="1:13" x14ac:dyDescent="0.2">
      <c r="A26" s="7" t="s">
        <v>47</v>
      </c>
      <c r="B26" s="7" t="s">
        <v>96</v>
      </c>
      <c r="C26" s="7">
        <v>1100</v>
      </c>
      <c r="D26" s="35">
        <v>3.26</v>
      </c>
      <c r="E26" s="35">
        <v>26.34</v>
      </c>
      <c r="F26" s="38">
        <v>2600</v>
      </c>
      <c r="H26" s="23" t="s">
        <v>47</v>
      </c>
      <c r="I26" s="7"/>
      <c r="J26" s="7"/>
      <c r="K26" s="24"/>
      <c r="L26" s="25"/>
      <c r="M26" s="25"/>
    </row>
    <row r="27" spans="1:13" x14ac:dyDescent="0.2">
      <c r="A27" s="7" t="s">
        <v>48</v>
      </c>
      <c r="B27" s="7" t="s">
        <v>98</v>
      </c>
      <c r="C27" s="7">
        <v>1700</v>
      </c>
      <c r="D27" s="35">
        <v>3.26</v>
      </c>
      <c r="E27" s="35">
        <v>26.34</v>
      </c>
      <c r="F27" s="38">
        <v>2600</v>
      </c>
      <c r="H27" s="23" t="s">
        <v>48</v>
      </c>
      <c r="I27" s="23"/>
      <c r="J27" s="23"/>
      <c r="K27" s="24"/>
      <c r="L27" s="25"/>
      <c r="M27" s="25"/>
    </row>
    <row r="28" spans="1:13" x14ac:dyDescent="0.2">
      <c r="A28" s="7" t="s">
        <v>49</v>
      </c>
      <c r="B28" s="7" t="s">
        <v>99</v>
      </c>
      <c r="C28" s="7">
        <v>1800</v>
      </c>
      <c r="D28" s="35">
        <v>3.26</v>
      </c>
      <c r="E28" s="35">
        <v>25.01</v>
      </c>
      <c r="F28" s="38">
        <v>2600</v>
      </c>
      <c r="H28" s="23" t="s">
        <v>49</v>
      </c>
      <c r="I28" s="23"/>
      <c r="J28" s="23"/>
      <c r="K28" s="24"/>
      <c r="L28" s="25"/>
      <c r="M28" s="25"/>
    </row>
    <row r="29" spans="1:13" x14ac:dyDescent="0.2">
      <c r="A29" s="7" t="s">
        <v>50</v>
      </c>
      <c r="B29" s="7" t="s">
        <v>103</v>
      </c>
      <c r="C29" s="7">
        <v>3600</v>
      </c>
      <c r="D29" s="35">
        <v>3.26</v>
      </c>
      <c r="E29" s="35">
        <v>35.57</v>
      </c>
      <c r="F29" s="38">
        <v>2600</v>
      </c>
      <c r="H29" s="23" t="s">
        <v>50</v>
      </c>
      <c r="I29" s="23"/>
      <c r="J29" s="23"/>
      <c r="K29" s="24"/>
      <c r="L29" s="25"/>
      <c r="M29" s="25"/>
    </row>
    <row r="30" spans="1:13" x14ac:dyDescent="0.2">
      <c r="A30" s="7" t="s">
        <v>97</v>
      </c>
      <c r="B30" s="7" t="s">
        <v>102</v>
      </c>
      <c r="C30" s="9">
        <v>5000</v>
      </c>
      <c r="D30" s="36">
        <v>3.26</v>
      </c>
      <c r="E30" s="36">
        <v>40.56</v>
      </c>
      <c r="F30" s="38">
        <v>2600</v>
      </c>
      <c r="H30" s="26"/>
      <c r="I30" s="26"/>
      <c r="J30" s="26"/>
      <c r="K30" s="27"/>
      <c r="L30" s="28"/>
      <c r="M30" s="28"/>
    </row>
    <row r="31" spans="1:13" x14ac:dyDescent="0.2">
      <c r="A31" s="7"/>
    </row>
    <row r="34" spans="1:13" ht="19" x14ac:dyDescent="0.25">
      <c r="A34" s="53" t="s">
        <v>51</v>
      </c>
      <c r="B34" s="53"/>
      <c r="C34" s="53"/>
      <c r="D34" s="53"/>
      <c r="E34" s="53"/>
      <c r="F34" s="53"/>
      <c r="H34" s="55" t="s">
        <v>53</v>
      </c>
      <c r="I34" s="56"/>
      <c r="J34" s="56"/>
      <c r="K34" s="56"/>
      <c r="L34" s="56"/>
      <c r="M34" s="57"/>
    </row>
    <row r="35" spans="1:13" x14ac:dyDescent="0.2">
      <c r="A35" s="4" t="s">
        <v>0</v>
      </c>
      <c r="B35" s="41" t="s">
        <v>87</v>
      </c>
      <c r="C35" s="41" t="s">
        <v>88</v>
      </c>
      <c r="D35" s="4" t="s">
        <v>37</v>
      </c>
      <c r="E35" s="4" t="s">
        <v>38</v>
      </c>
      <c r="F35" s="4" t="s">
        <v>39</v>
      </c>
      <c r="H35" s="17" t="s">
        <v>0</v>
      </c>
      <c r="I35" s="41" t="s">
        <v>89</v>
      </c>
      <c r="J35" s="41" t="s">
        <v>90</v>
      </c>
      <c r="K35" s="18" t="s">
        <v>37</v>
      </c>
      <c r="L35" s="18" t="s">
        <v>38</v>
      </c>
      <c r="M35" s="18" t="s">
        <v>39</v>
      </c>
    </row>
    <row r="36" spans="1:13" x14ac:dyDescent="0.2">
      <c r="A36" s="5"/>
      <c r="B36" s="5"/>
      <c r="C36" s="5"/>
      <c r="D36" s="11"/>
      <c r="E36" s="11"/>
      <c r="F36" s="6"/>
      <c r="H36" s="19"/>
      <c r="I36" s="19"/>
      <c r="J36" s="19"/>
      <c r="K36" s="20"/>
      <c r="L36" s="46"/>
      <c r="M36" s="21"/>
    </row>
    <row r="37" spans="1:13" x14ac:dyDescent="0.2">
      <c r="A37" s="7" t="s">
        <v>42</v>
      </c>
      <c r="B37" s="7" t="s">
        <v>98</v>
      </c>
      <c r="C37" s="7">
        <v>1000</v>
      </c>
      <c r="D37" s="12">
        <v>3.26</v>
      </c>
      <c r="E37" s="35">
        <v>20.6</v>
      </c>
      <c r="F37" s="8"/>
      <c r="H37" s="23" t="s">
        <v>42</v>
      </c>
      <c r="I37" s="23" t="s">
        <v>92</v>
      </c>
      <c r="J37" s="23">
        <v>300</v>
      </c>
      <c r="K37" s="24">
        <v>3.26</v>
      </c>
      <c r="L37" s="44">
        <v>13.65</v>
      </c>
      <c r="M37" s="25"/>
    </row>
    <row r="38" spans="1:13" x14ac:dyDescent="0.2">
      <c r="A38" s="7" t="s">
        <v>43</v>
      </c>
      <c r="B38" s="7" t="s">
        <v>98</v>
      </c>
      <c r="C38" s="7">
        <v>1000</v>
      </c>
      <c r="D38" s="12">
        <v>3.26</v>
      </c>
      <c r="E38" s="35">
        <v>20.6</v>
      </c>
      <c r="F38" s="8"/>
      <c r="H38" s="23" t="s">
        <v>43</v>
      </c>
      <c r="I38" s="47" t="s">
        <v>108</v>
      </c>
      <c r="J38" s="47">
        <v>1000</v>
      </c>
      <c r="K38" s="24">
        <v>3.26</v>
      </c>
      <c r="L38" s="44">
        <v>20.6</v>
      </c>
      <c r="M38" s="25"/>
    </row>
    <row r="39" spans="1:13" x14ac:dyDescent="0.2">
      <c r="A39" s="7" t="s">
        <v>44</v>
      </c>
      <c r="B39" s="7" t="s">
        <v>100</v>
      </c>
      <c r="C39" s="7">
        <v>1600</v>
      </c>
      <c r="D39" s="12">
        <v>3.26</v>
      </c>
      <c r="E39" s="14">
        <v>35.57</v>
      </c>
      <c r="F39" s="8"/>
      <c r="H39" s="23" t="s">
        <v>44</v>
      </c>
      <c r="I39" s="23" t="s">
        <v>105</v>
      </c>
      <c r="J39" s="23">
        <v>1500</v>
      </c>
      <c r="K39" s="24">
        <v>3.26</v>
      </c>
      <c r="L39" s="44">
        <v>26.4</v>
      </c>
      <c r="M39" s="25"/>
    </row>
    <row r="40" spans="1:13" x14ac:dyDescent="0.2">
      <c r="A40" s="7" t="s">
        <v>45</v>
      </c>
      <c r="B40" s="7" t="s">
        <v>100</v>
      </c>
      <c r="C40" s="7">
        <v>1600</v>
      </c>
      <c r="D40" s="12">
        <v>3.26</v>
      </c>
      <c r="E40" s="14">
        <v>35.57</v>
      </c>
      <c r="F40" s="8"/>
      <c r="H40" s="23" t="s">
        <v>45</v>
      </c>
      <c r="I40" s="23" t="s">
        <v>106</v>
      </c>
      <c r="J40" s="23">
        <v>2500</v>
      </c>
      <c r="K40" s="24">
        <v>3.26</v>
      </c>
      <c r="L40" s="44">
        <v>35.57</v>
      </c>
      <c r="M40" s="25"/>
    </row>
    <row r="41" spans="1:13" x14ac:dyDescent="0.2">
      <c r="A41" s="7" t="s">
        <v>46</v>
      </c>
      <c r="B41" s="7" t="s">
        <v>101</v>
      </c>
      <c r="C41" s="7">
        <v>2500</v>
      </c>
      <c r="D41" s="12">
        <v>3.26</v>
      </c>
      <c r="E41" s="14">
        <v>35.57</v>
      </c>
      <c r="F41" s="8"/>
      <c r="H41" s="23" t="s">
        <v>46</v>
      </c>
      <c r="I41" s="23" t="s">
        <v>107</v>
      </c>
      <c r="J41" s="23">
        <v>5000</v>
      </c>
      <c r="K41" s="24">
        <v>3.26</v>
      </c>
      <c r="L41" s="44">
        <v>40.56</v>
      </c>
      <c r="M41" s="25"/>
    </row>
    <row r="42" spans="1:13" x14ac:dyDescent="0.2">
      <c r="A42" s="7" t="s">
        <v>47</v>
      </c>
      <c r="B42" s="7" t="s">
        <v>102</v>
      </c>
      <c r="C42" s="7">
        <v>5000</v>
      </c>
      <c r="D42" s="12">
        <v>3.26</v>
      </c>
      <c r="E42" s="14">
        <v>40.56</v>
      </c>
      <c r="F42" s="8"/>
      <c r="H42" s="23"/>
      <c r="I42" s="23"/>
      <c r="J42" s="23"/>
      <c r="K42" s="24"/>
      <c r="L42" s="44"/>
      <c r="M42" s="25"/>
    </row>
    <row r="43" spans="1:13" x14ac:dyDescent="0.2">
      <c r="A43" s="7"/>
      <c r="B43" s="7"/>
      <c r="C43" s="7"/>
      <c r="D43" s="12"/>
      <c r="E43" s="14"/>
      <c r="F43" s="8"/>
      <c r="H43" s="23"/>
      <c r="I43" s="23"/>
      <c r="J43" s="23"/>
      <c r="K43" s="24"/>
      <c r="L43" s="25"/>
      <c r="M43" s="25"/>
    </row>
    <row r="44" spans="1:13" x14ac:dyDescent="0.2">
      <c r="A44" s="7"/>
      <c r="B44" s="7"/>
      <c r="C44" s="7"/>
      <c r="D44" s="12"/>
      <c r="E44" s="14"/>
      <c r="F44" s="8"/>
      <c r="H44" s="23"/>
      <c r="I44" s="23"/>
      <c r="J44" s="23"/>
      <c r="K44" s="24"/>
      <c r="L44" s="25"/>
      <c r="M44" s="25"/>
    </row>
    <row r="45" spans="1:13" x14ac:dyDescent="0.2">
      <c r="A45" s="7"/>
      <c r="B45" s="7"/>
      <c r="C45" s="7"/>
      <c r="D45" s="12"/>
      <c r="E45" s="14"/>
      <c r="F45" s="8"/>
      <c r="H45" s="23"/>
      <c r="I45" s="23"/>
      <c r="J45" s="23"/>
      <c r="K45" s="24"/>
      <c r="L45" s="25"/>
      <c r="M45" s="25"/>
    </row>
    <row r="46" spans="1:13" x14ac:dyDescent="0.2">
      <c r="A46" s="16"/>
      <c r="B46" s="16"/>
      <c r="C46" s="16"/>
      <c r="D46" s="15"/>
      <c r="E46" s="15"/>
      <c r="F46" s="10"/>
      <c r="H46" s="26"/>
      <c r="I46" s="26"/>
      <c r="J46" s="26"/>
      <c r="K46" s="27"/>
      <c r="L46" s="28"/>
      <c r="M46" s="28"/>
    </row>
    <row r="48" spans="1:13" x14ac:dyDescent="0.2">
      <c r="F48" s="23"/>
    </row>
    <row r="49" spans="6:12" ht="21" x14ac:dyDescent="0.25">
      <c r="F49" s="23"/>
      <c r="H49" s="49" t="s">
        <v>117</v>
      </c>
      <c r="I49" s="49"/>
      <c r="J49" s="49"/>
      <c r="K49" s="49"/>
    </row>
    <row r="50" spans="6:12" x14ac:dyDescent="0.2">
      <c r="F50" s="23"/>
      <c r="H50" s="4" t="s">
        <v>58</v>
      </c>
      <c r="I50" s="4"/>
      <c r="J50" s="4"/>
      <c r="K50" s="29" t="s">
        <v>59</v>
      </c>
      <c r="L50" s="29" t="s">
        <v>57</v>
      </c>
    </row>
    <row r="51" spans="6:12" x14ac:dyDescent="0.2">
      <c r="F51" s="23"/>
      <c r="H51" s="30"/>
      <c r="I51" s="30"/>
      <c r="J51" s="30"/>
      <c r="K51" s="31" t="s">
        <v>77</v>
      </c>
      <c r="L51" s="34">
        <v>50</v>
      </c>
    </row>
    <row r="52" spans="6:12" x14ac:dyDescent="0.2">
      <c r="F52" s="23"/>
      <c r="H52" s="7" t="s">
        <v>64</v>
      </c>
      <c r="I52" s="7"/>
      <c r="J52" s="7"/>
      <c r="K52" s="14" t="s">
        <v>76</v>
      </c>
      <c r="L52" s="35">
        <v>125</v>
      </c>
    </row>
    <row r="53" spans="6:12" x14ac:dyDescent="0.2">
      <c r="F53" s="23"/>
      <c r="H53" s="7" t="s">
        <v>65</v>
      </c>
      <c r="I53" s="7"/>
      <c r="J53" s="7"/>
      <c r="K53" s="14" t="s">
        <v>118</v>
      </c>
      <c r="L53" s="35">
        <v>500</v>
      </c>
    </row>
    <row r="54" spans="6:12" x14ac:dyDescent="0.2">
      <c r="F54" s="40"/>
      <c r="H54" s="9"/>
      <c r="I54" s="9"/>
      <c r="J54" s="9"/>
      <c r="K54" s="15"/>
      <c r="L54" s="36"/>
    </row>
    <row r="55" spans="6:12" x14ac:dyDescent="0.2">
      <c r="F55" s="40"/>
    </row>
    <row r="57" spans="6:12" ht="21" x14ac:dyDescent="0.25">
      <c r="H57" s="49" t="s">
        <v>66</v>
      </c>
      <c r="I57" s="49"/>
      <c r="J57" s="49"/>
      <c r="K57" s="49"/>
    </row>
    <row r="58" spans="6:12" x14ac:dyDescent="0.2">
      <c r="H58" s="4" t="s">
        <v>58</v>
      </c>
      <c r="I58" s="4"/>
      <c r="J58" s="4"/>
      <c r="K58" s="29" t="s">
        <v>59</v>
      </c>
      <c r="L58" s="29" t="s">
        <v>57</v>
      </c>
    </row>
    <row r="59" spans="6:12" x14ac:dyDescent="0.2">
      <c r="H59" s="30"/>
      <c r="I59" s="30"/>
      <c r="J59" s="30"/>
      <c r="K59" s="31" t="s">
        <v>77</v>
      </c>
      <c r="L59" s="31">
        <v>85</v>
      </c>
    </row>
    <row r="60" spans="6:12" x14ac:dyDescent="0.2">
      <c r="H60" s="7" t="s">
        <v>67</v>
      </c>
      <c r="I60" s="7"/>
      <c r="J60" s="7"/>
      <c r="K60" s="14" t="s">
        <v>76</v>
      </c>
      <c r="L60" s="14">
        <v>165</v>
      </c>
    </row>
    <row r="61" spans="6:12" x14ac:dyDescent="0.2">
      <c r="H61" s="7" t="s">
        <v>68</v>
      </c>
      <c r="I61" s="7"/>
      <c r="J61" s="7"/>
      <c r="K61" s="14"/>
      <c r="L61" s="14"/>
    </row>
    <row r="62" spans="6:12" x14ac:dyDescent="0.2">
      <c r="H62" s="9"/>
      <c r="I62" s="9"/>
      <c r="J62" s="9"/>
      <c r="K62" s="15"/>
      <c r="L62" s="15"/>
    </row>
    <row r="64" spans="6:12" ht="19" x14ac:dyDescent="0.25">
      <c r="H64" s="50" t="s">
        <v>70</v>
      </c>
      <c r="I64" s="50"/>
      <c r="J64" s="50"/>
      <c r="K64" s="50"/>
      <c r="L64" s="50"/>
    </row>
    <row r="65" spans="8:12" x14ac:dyDescent="0.2">
      <c r="H65" s="32" t="s">
        <v>71</v>
      </c>
      <c r="I65" s="42"/>
      <c r="J65" s="42"/>
      <c r="K65" s="51" t="s">
        <v>72</v>
      </c>
      <c r="L65" s="52"/>
    </row>
    <row r="66" spans="8:12" x14ac:dyDescent="0.2">
      <c r="H66" s="14" t="s">
        <v>73</v>
      </c>
      <c r="I66" s="22"/>
      <c r="J66" s="22"/>
      <c r="K66" s="33" t="s">
        <v>119</v>
      </c>
      <c r="L66" s="8"/>
    </row>
    <row r="67" spans="8:12" x14ac:dyDescent="0.2">
      <c r="H67" s="14" t="s">
        <v>74</v>
      </c>
      <c r="I67" s="22"/>
      <c r="J67" s="22"/>
      <c r="K67" s="22" t="s">
        <v>75</v>
      </c>
      <c r="L67" s="8"/>
    </row>
    <row r="68" spans="8:12" x14ac:dyDescent="0.2">
      <c r="H68" s="14"/>
      <c r="I68" s="22"/>
      <c r="J68" s="22"/>
      <c r="K68" s="22"/>
      <c r="L68" s="8"/>
    </row>
    <row r="69" spans="8:12" x14ac:dyDescent="0.2">
      <c r="H69" s="15"/>
      <c r="I69" s="16"/>
      <c r="J69" s="16"/>
      <c r="K69" s="16"/>
      <c r="L69" s="10"/>
    </row>
  </sheetData>
  <mergeCells count="10">
    <mergeCell ref="H49:K49"/>
    <mergeCell ref="H57:K57"/>
    <mergeCell ref="H64:L64"/>
    <mergeCell ref="K65:L65"/>
    <mergeCell ref="A1:F1"/>
    <mergeCell ref="H1:K1"/>
    <mergeCell ref="A18:F18"/>
    <mergeCell ref="H18:M18"/>
    <mergeCell ref="A34:F34"/>
    <mergeCell ref="H34:M34"/>
  </mergeCells>
  <printOptions gridLines="1"/>
  <pageMargins left="0.75" right="0.75" top="1" bottom="1" header="0.5" footer="0.5"/>
  <pageSetup paperSize="9" scale="70" orientation="landscape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National Costing</vt:lpstr>
      <vt:lpstr>Local Costing</vt:lpstr>
      <vt:lpstr>Additional Costs</vt:lpstr>
      <vt:lpstr>Packaging</vt:lpstr>
      <vt:lpstr>Jose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Curt le Roux</cp:lastModifiedBy>
  <cp:lastPrinted>2026-05-22T07:55:00Z</cp:lastPrinted>
  <dcterms:created xsi:type="dcterms:W3CDTF">2026-03-27T06:07:59Z</dcterms:created>
  <dcterms:modified xsi:type="dcterms:W3CDTF">2026-07-07T10:07:51Z</dcterms:modified>
</cp:coreProperties>
</file>